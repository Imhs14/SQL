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1A365D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2B4C7E"/>
      <sz val="11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2B4C7E"/>
        <bgColor rgb="002B4C7E"/>
      </patternFill>
    </fill>
    <fill>
      <patternFill patternType="solid">
        <fgColor rgb="00F2F5F9"/>
        <bgColor rgb="00F2F5F9"/>
      </patternFill>
    </fill>
    <fill>
      <patternFill patternType="solid">
        <fgColor rgb="00E4ECF5"/>
        <bgColor rgb="00E4ECF5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4" fillId="0" borderId="0" pivotButton="0" quotePrefix="0" xfId="0"/>
    <xf numFmtId="3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  <xf numFmtId="0" fontId="3" fillId="4" borderId="1" pivotButton="0" quotePrefix="0" xfId="0"/>
    <xf numFmtId="3" fontId="5" fillId="4" borderId="1" applyAlignment="1" pivotButton="0" quotePrefix="0" xfId="0">
      <alignment horizontal="right"/>
    </xf>
    <xf numFmtId="3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164" fontId="3" fillId="3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4" customWidth="1" min="3" max="3"/>
    <col width="14" customWidth="1" min="4" max="4"/>
    <col width="24" customWidth="1" min="5" max="5"/>
    <col width="13" customWidth="1" min="6" max="6"/>
    <col width="4" customWidth="1" min="7" max="7"/>
    <col width="22" customWidth="1" min="8" max="8"/>
    <col width="14" customWidth="1" min="9" max="9"/>
  </cols>
  <sheetData>
    <row r="1" ht="30" customHeight="1">
      <c r="A1" s="1" t="inlineStr">
        <is>
          <t>Northwind Product Catalog</t>
        </is>
      </c>
    </row>
    <row r="2"/>
    <row r="3" ht="24" customHeight="1">
      <c r="A3" s="2" t="inlineStr">
        <is>
          <t>Product ID</t>
        </is>
      </c>
      <c r="B3" s="3" t="inlineStr">
        <is>
          <t>Product Name</t>
        </is>
      </c>
      <c r="C3" s="2" t="inlineStr">
        <is>
          <t>Supplier ID</t>
        </is>
      </c>
      <c r="D3" s="2" t="inlineStr">
        <is>
          <t>Category ID</t>
        </is>
      </c>
      <c r="E3" s="3" t="inlineStr">
        <is>
          <t>Quantity Per Unit</t>
        </is>
      </c>
      <c r="F3" s="4" t="inlineStr">
        <is>
          <t>Unit Price</t>
        </is>
      </c>
      <c r="H3" s="5" t="inlineStr">
        <is>
          <t>Inventory Metrics</t>
        </is>
      </c>
    </row>
    <row r="4" ht="18" customHeight="1">
      <c r="A4" s="6" t="n">
        <v>1</v>
      </c>
      <c r="B4" s="7" t="inlineStr">
        <is>
          <t>Chais</t>
        </is>
      </c>
      <c r="C4" s="6" t="n">
        <v>1</v>
      </c>
      <c r="D4" s="6" t="n">
        <v>1</v>
      </c>
      <c r="E4" s="7" t="inlineStr">
        <is>
          <t>10 boxes x 20 bags</t>
        </is>
      </c>
      <c r="F4" s="8" t="n">
        <v>18</v>
      </c>
      <c r="H4" s="9" t="inlineStr">
        <is>
          <t>Total Unique Products</t>
        </is>
      </c>
      <c r="I4" s="10">
        <f>COUNTA(A4:A80)</f>
        <v/>
      </c>
    </row>
    <row r="5" ht="18" customHeight="1">
      <c r="A5" s="11" t="n">
        <v>2</v>
      </c>
      <c r="B5" s="12" t="inlineStr">
        <is>
          <t>Chang</t>
        </is>
      </c>
      <c r="C5" s="11" t="n">
        <v>1</v>
      </c>
      <c r="D5" s="11" t="n">
        <v>1</v>
      </c>
      <c r="E5" s="12" t="inlineStr">
        <is>
          <t>24 - 12 oz bottles</t>
        </is>
      </c>
      <c r="F5" s="13" t="n">
        <v>19</v>
      </c>
      <c r="H5" s="9" t="inlineStr">
        <is>
          <t>Average Product Price</t>
        </is>
      </c>
      <c r="I5" s="14">
        <f>AVERAGE(F4:F80)</f>
        <v/>
      </c>
    </row>
    <row r="6" ht="18" customHeight="1">
      <c r="A6" s="6" t="n">
        <v>3</v>
      </c>
      <c r="B6" s="7" t="inlineStr">
        <is>
          <t>Aniseed Syrup</t>
        </is>
      </c>
      <c r="C6" s="6" t="n">
        <v>1</v>
      </c>
      <c r="D6" s="6" t="n">
        <v>2</v>
      </c>
      <c r="E6" s="7" t="inlineStr">
        <is>
          <t>12 - 550 ml bottles</t>
        </is>
      </c>
      <c r="F6" s="8" t="n">
        <v>10</v>
      </c>
      <c r="H6" s="9" t="inlineStr">
        <is>
          <t>Most Expensive Product</t>
        </is>
      </c>
      <c r="I6" s="14">
        <f>MAX(F4:F80)</f>
        <v/>
      </c>
    </row>
    <row r="7" ht="18" customHeight="1">
      <c r="A7" s="11" t="n">
        <v>4</v>
      </c>
      <c r="B7" s="12" t="inlineStr">
        <is>
          <t>Chef Anton's Cajun Seasoning</t>
        </is>
      </c>
      <c r="C7" s="11" t="n">
        <v>2</v>
      </c>
      <c r="D7" s="11" t="n">
        <v>2</v>
      </c>
      <c r="E7" s="12" t="inlineStr">
        <is>
          <t>24 - 6 oz jars</t>
        </is>
      </c>
      <c r="F7" s="13" t="n">
        <v>22</v>
      </c>
      <c r="H7" s="9" t="inlineStr">
        <is>
          <t>Cheapest Product</t>
        </is>
      </c>
      <c r="I7" s="14">
        <f>MIN(F4:F80)</f>
        <v/>
      </c>
    </row>
    <row r="8" ht="18" customHeight="1">
      <c r="A8" s="6" t="n">
        <v>5</v>
      </c>
      <c r="B8" s="7" t="inlineStr">
        <is>
          <t>Chef Anton's Gumbo Mix</t>
        </is>
      </c>
      <c r="C8" s="6" t="n">
        <v>2</v>
      </c>
      <c r="D8" s="6" t="n">
        <v>2</v>
      </c>
      <c r="E8" s="7" t="inlineStr">
        <is>
          <t>36 boxes</t>
        </is>
      </c>
      <c r="F8" s="8" t="n">
        <v>21.35</v>
      </c>
    </row>
    <row r="9" ht="18" customHeight="1">
      <c r="A9" s="11" t="n">
        <v>6</v>
      </c>
      <c r="B9" s="12" t="inlineStr">
        <is>
          <t>Grandma's Boysenberry Spread</t>
        </is>
      </c>
      <c r="C9" s="11" t="n">
        <v>3</v>
      </c>
      <c r="D9" s="11" t="n">
        <v>2</v>
      </c>
      <c r="E9" s="12" t="inlineStr">
        <is>
          <t>12 - 8 oz jars</t>
        </is>
      </c>
      <c r="F9" s="13" t="n">
        <v>25</v>
      </c>
    </row>
    <row r="10" ht="18" customHeight="1">
      <c r="A10" s="6" t="n">
        <v>7</v>
      </c>
      <c r="B10" s="7" t="inlineStr">
        <is>
          <t>Uncle Bob's Organic Dried Pears</t>
        </is>
      </c>
      <c r="C10" s="6" t="n">
        <v>3</v>
      </c>
      <c r="D10" s="6" t="n">
        <v>7</v>
      </c>
      <c r="E10" s="7" t="inlineStr">
        <is>
          <t>12 - 1 lb pkgs.</t>
        </is>
      </c>
      <c r="F10" s="8" t="n">
        <v>30</v>
      </c>
    </row>
    <row r="11" ht="18" customHeight="1">
      <c r="A11" s="11" t="n">
        <v>8</v>
      </c>
      <c r="B11" s="12" t="inlineStr">
        <is>
          <t>Northwoods Cranberry Sauce</t>
        </is>
      </c>
      <c r="C11" s="11" t="n">
        <v>3</v>
      </c>
      <c r="D11" s="11" t="n">
        <v>2</v>
      </c>
      <c r="E11" s="12" t="inlineStr">
        <is>
          <t>12 - 12 oz jars</t>
        </is>
      </c>
      <c r="F11" s="13" t="n">
        <v>40</v>
      </c>
    </row>
    <row r="12" ht="18" customHeight="1">
      <c r="A12" s="6" t="n">
        <v>9</v>
      </c>
      <c r="B12" s="7" t="inlineStr">
        <is>
          <t>Mishi Kobe Niku</t>
        </is>
      </c>
      <c r="C12" s="6" t="n">
        <v>4</v>
      </c>
      <c r="D12" s="6" t="n">
        <v>6</v>
      </c>
      <c r="E12" s="7" t="inlineStr">
        <is>
          <t>18 - 500 g pkgs.</t>
        </is>
      </c>
      <c r="F12" s="8" t="n">
        <v>97</v>
      </c>
    </row>
    <row r="13" ht="18" customHeight="1">
      <c r="A13" s="11" t="n">
        <v>10</v>
      </c>
      <c r="B13" s="12" t="inlineStr">
        <is>
          <t>Ikura</t>
        </is>
      </c>
      <c r="C13" s="11" t="n">
        <v>4</v>
      </c>
      <c r="D13" s="11" t="n">
        <v>8</v>
      </c>
      <c r="E13" s="12" t="inlineStr">
        <is>
          <t>12 - 200 ml jars</t>
        </is>
      </c>
      <c r="F13" s="13" t="n">
        <v>31</v>
      </c>
    </row>
    <row r="14" ht="18" customHeight="1">
      <c r="A14" s="6" t="n">
        <v>11</v>
      </c>
      <c r="B14" s="7" t="inlineStr">
        <is>
          <t>Queso Cabrales</t>
        </is>
      </c>
      <c r="C14" s="6" t="n">
        <v>5</v>
      </c>
      <c r="D14" s="6" t="n">
        <v>4</v>
      </c>
      <c r="E14" s="7" t="inlineStr">
        <is>
          <t>1 kg pkg.</t>
        </is>
      </c>
      <c r="F14" s="8" t="n">
        <v>21</v>
      </c>
    </row>
    <row r="15" ht="18" customHeight="1">
      <c r="A15" s="11" t="n">
        <v>12</v>
      </c>
      <c r="B15" s="12" t="inlineStr">
        <is>
          <t>Queso Manchego La Pastora</t>
        </is>
      </c>
      <c r="C15" s="11" t="n">
        <v>5</v>
      </c>
      <c r="D15" s="11" t="n">
        <v>4</v>
      </c>
      <c r="E15" s="12" t="inlineStr">
        <is>
          <t>10 - 500 g pkgs.</t>
        </is>
      </c>
      <c r="F15" s="13" t="n">
        <v>38</v>
      </c>
    </row>
    <row r="16" ht="18" customHeight="1">
      <c r="A16" s="6" t="n">
        <v>13</v>
      </c>
      <c r="B16" s="7" t="inlineStr">
        <is>
          <t>Konbu</t>
        </is>
      </c>
      <c r="C16" s="6" t="n">
        <v>6</v>
      </c>
      <c r="D16" s="6" t="n">
        <v>8</v>
      </c>
      <c r="E16" s="7" t="inlineStr">
        <is>
          <t>2 kg box</t>
        </is>
      </c>
      <c r="F16" s="8" t="n">
        <v>6</v>
      </c>
    </row>
    <row r="17" ht="18" customHeight="1">
      <c r="A17" s="11" t="n">
        <v>14</v>
      </c>
      <c r="B17" s="12" t="inlineStr">
        <is>
          <t>Tofu</t>
        </is>
      </c>
      <c r="C17" s="11" t="n">
        <v>6</v>
      </c>
      <c r="D17" s="11" t="n">
        <v>7</v>
      </c>
      <c r="E17" s="12" t="inlineStr">
        <is>
          <t>40 - 100 g pkgs.</t>
        </is>
      </c>
      <c r="F17" s="13" t="n">
        <v>23.25</v>
      </c>
    </row>
    <row r="18" ht="18" customHeight="1">
      <c r="A18" s="6" t="n">
        <v>15</v>
      </c>
      <c r="B18" s="7" t="inlineStr">
        <is>
          <t>Genen Shouyu</t>
        </is>
      </c>
      <c r="C18" s="6" t="n">
        <v>6</v>
      </c>
      <c r="D18" s="6" t="n">
        <v>2</v>
      </c>
      <c r="E18" s="7" t="inlineStr">
        <is>
          <t>24 - 250 ml bottles</t>
        </is>
      </c>
      <c r="F18" s="8" t="n">
        <v>15.5</v>
      </c>
    </row>
    <row r="19" ht="18" customHeight="1">
      <c r="A19" s="11" t="n">
        <v>16</v>
      </c>
      <c r="B19" s="12" t="inlineStr">
        <is>
          <t>Pavlova</t>
        </is>
      </c>
      <c r="C19" s="11" t="n">
        <v>7</v>
      </c>
      <c r="D19" s="11" t="n">
        <v>3</v>
      </c>
      <c r="E19" s="12" t="inlineStr">
        <is>
          <t>32 - 500 g boxes</t>
        </is>
      </c>
      <c r="F19" s="13" t="n">
        <v>17.45</v>
      </c>
    </row>
    <row r="20" ht="18" customHeight="1">
      <c r="A20" s="6" t="n">
        <v>17</v>
      </c>
      <c r="B20" s="7" t="inlineStr">
        <is>
          <t>Alice Mutton</t>
        </is>
      </c>
      <c r="C20" s="6" t="n">
        <v>7</v>
      </c>
      <c r="D20" s="6" t="n">
        <v>6</v>
      </c>
      <c r="E20" s="7" t="inlineStr">
        <is>
          <t>20 - 1 kg tins</t>
        </is>
      </c>
      <c r="F20" s="8" t="n">
        <v>39</v>
      </c>
    </row>
    <row r="21" ht="18" customHeight="1">
      <c r="A21" s="11" t="n">
        <v>18</v>
      </c>
      <c r="B21" s="12" t="inlineStr">
        <is>
          <t>Carnarvon Tigers</t>
        </is>
      </c>
      <c r="C21" s="11" t="n">
        <v>7</v>
      </c>
      <c r="D21" s="11" t="n">
        <v>8</v>
      </c>
      <c r="E21" s="12" t="inlineStr">
        <is>
          <t>16 kg pkg.</t>
        </is>
      </c>
      <c r="F21" s="13" t="n">
        <v>62.5</v>
      </c>
    </row>
    <row r="22" ht="18" customHeight="1">
      <c r="A22" s="6" t="n">
        <v>19</v>
      </c>
      <c r="B22" s="7" t="inlineStr">
        <is>
          <t>Teatime Chocolate Biscuits</t>
        </is>
      </c>
      <c r="C22" s="6" t="n">
        <v>8</v>
      </c>
      <c r="D22" s="6" t="n">
        <v>3</v>
      </c>
      <c r="E22" s="7" t="inlineStr">
        <is>
          <t>10 boxes x 12 pieces</t>
        </is>
      </c>
      <c r="F22" s="8" t="n">
        <v>9.199999999999999</v>
      </c>
    </row>
    <row r="23" ht="18" customHeight="1">
      <c r="A23" s="11" t="n">
        <v>20</v>
      </c>
      <c r="B23" s="12" t="inlineStr">
        <is>
          <t>Sir Rodney's Marmalade</t>
        </is>
      </c>
      <c r="C23" s="11" t="n">
        <v>8</v>
      </c>
      <c r="D23" s="11" t="n">
        <v>3</v>
      </c>
      <c r="E23" s="12" t="inlineStr">
        <is>
          <t>30 gift boxes</t>
        </is>
      </c>
      <c r="F23" s="13" t="n">
        <v>81</v>
      </c>
    </row>
    <row r="24" ht="18" customHeight="1">
      <c r="A24" s="6" t="n">
        <v>21</v>
      </c>
      <c r="B24" s="7" t="inlineStr">
        <is>
          <t>Sir Rodney's Scones</t>
        </is>
      </c>
      <c r="C24" s="6" t="n">
        <v>8</v>
      </c>
      <c r="D24" s="6" t="n">
        <v>3</v>
      </c>
      <c r="E24" s="7" t="inlineStr">
        <is>
          <t>24 pkgs. x 4 pieces</t>
        </is>
      </c>
      <c r="F24" s="8" t="n">
        <v>10</v>
      </c>
    </row>
    <row r="25" ht="18" customHeight="1">
      <c r="A25" s="11" t="n">
        <v>22</v>
      </c>
      <c r="B25" s="12" t="inlineStr">
        <is>
          <t>Gustafs Knäckebröd</t>
        </is>
      </c>
      <c r="C25" s="11" t="n">
        <v>9</v>
      </c>
      <c r="D25" s="11" t="n">
        <v>5</v>
      </c>
      <c r="E25" s="12" t="inlineStr">
        <is>
          <t>24 - 500 g pkgs.</t>
        </is>
      </c>
      <c r="F25" s="13" t="n">
        <v>21</v>
      </c>
    </row>
    <row r="26" ht="18" customHeight="1">
      <c r="A26" s="6" t="n">
        <v>23</v>
      </c>
      <c r="B26" s="7" t="inlineStr">
        <is>
          <t>Tunnbröd</t>
        </is>
      </c>
      <c r="C26" s="6" t="n">
        <v>9</v>
      </c>
      <c r="D26" s="6" t="n">
        <v>5</v>
      </c>
      <c r="E26" s="7" t="inlineStr">
        <is>
          <t>12 - 250 g pkgs.</t>
        </is>
      </c>
      <c r="F26" s="8" t="n">
        <v>9</v>
      </c>
    </row>
    <row r="27" ht="18" customHeight="1">
      <c r="A27" s="11" t="n">
        <v>24</v>
      </c>
      <c r="B27" s="12" t="inlineStr">
        <is>
          <t>Guaraná Fantástica</t>
        </is>
      </c>
      <c r="C27" s="11" t="n">
        <v>10</v>
      </c>
      <c r="D27" s="11" t="n">
        <v>1</v>
      </c>
      <c r="E27" s="12" t="inlineStr">
        <is>
          <t>12 - 355 ml cans</t>
        </is>
      </c>
      <c r="F27" s="13" t="n">
        <v>4.5</v>
      </c>
    </row>
    <row r="28" ht="18" customHeight="1">
      <c r="A28" s="6" t="n">
        <v>25</v>
      </c>
      <c r="B28" s="7" t="inlineStr">
        <is>
          <t>NuNuCa Nuß-Nougat-Creme</t>
        </is>
      </c>
      <c r="C28" s="6" t="n">
        <v>11</v>
      </c>
      <c r="D28" s="6" t="n">
        <v>3</v>
      </c>
      <c r="E28" s="7" t="inlineStr">
        <is>
          <t>20 - 450 g glasses</t>
        </is>
      </c>
      <c r="F28" s="8" t="n">
        <v>14</v>
      </c>
    </row>
    <row r="29" ht="18" customHeight="1">
      <c r="A29" s="11" t="n">
        <v>26</v>
      </c>
      <c r="B29" s="12" t="inlineStr">
        <is>
          <t>Gumbär Gummibärchen</t>
        </is>
      </c>
      <c r="C29" s="11" t="n">
        <v>11</v>
      </c>
      <c r="D29" s="11" t="n">
        <v>3</v>
      </c>
      <c r="E29" s="12" t="inlineStr">
        <is>
          <t>100 - 250 g bags</t>
        </is>
      </c>
      <c r="F29" s="13" t="n">
        <v>31.23</v>
      </c>
    </row>
    <row r="30" ht="18" customHeight="1">
      <c r="A30" s="6" t="n">
        <v>27</v>
      </c>
      <c r="B30" s="7" t="inlineStr">
        <is>
          <t>Schoggi Schokolade</t>
        </is>
      </c>
      <c r="C30" s="6" t="n">
        <v>11</v>
      </c>
      <c r="D30" s="6" t="n">
        <v>3</v>
      </c>
      <c r="E30" s="7" t="inlineStr">
        <is>
          <t>100 - 100 g pieces</t>
        </is>
      </c>
      <c r="F30" s="8" t="n">
        <v>43.9</v>
      </c>
    </row>
    <row r="31" ht="18" customHeight="1">
      <c r="A31" s="11" t="n">
        <v>28</v>
      </c>
      <c r="B31" s="12" t="inlineStr">
        <is>
          <t>Rössle Sauerkraut</t>
        </is>
      </c>
      <c r="C31" s="11" t="n">
        <v>12</v>
      </c>
      <c r="D31" s="11" t="n">
        <v>7</v>
      </c>
      <c r="E31" s="12" t="inlineStr">
        <is>
          <t>25 - 825 g cans</t>
        </is>
      </c>
      <c r="F31" s="13" t="n">
        <v>45.6</v>
      </c>
    </row>
    <row r="32" ht="18" customHeight="1">
      <c r="A32" s="6" t="n">
        <v>29</v>
      </c>
      <c r="B32" s="7" t="inlineStr">
        <is>
          <t>Thüringer Rostbratwurst</t>
        </is>
      </c>
      <c r="C32" s="6" t="n">
        <v>12</v>
      </c>
      <c r="D32" s="6" t="n">
        <v>6</v>
      </c>
      <c r="E32" s="7" t="inlineStr">
        <is>
          <t>50 bags x 30 sausgs.</t>
        </is>
      </c>
      <c r="F32" s="8" t="n">
        <v>123.79</v>
      </c>
    </row>
    <row r="33" ht="18" customHeight="1">
      <c r="A33" s="11" t="n">
        <v>30</v>
      </c>
      <c r="B33" s="12" t="inlineStr">
        <is>
          <t>Nord-Ost Matjeshering</t>
        </is>
      </c>
      <c r="C33" s="11" t="n">
        <v>13</v>
      </c>
      <c r="D33" s="11" t="n">
        <v>8</v>
      </c>
      <c r="E33" s="12" t="inlineStr">
        <is>
          <t>10 - 200 g glasses</t>
        </is>
      </c>
      <c r="F33" s="13" t="n">
        <v>25.89</v>
      </c>
    </row>
    <row r="34" ht="18" customHeight="1">
      <c r="A34" s="6" t="n">
        <v>31</v>
      </c>
      <c r="B34" s="7" t="inlineStr">
        <is>
          <t>Gorgonzola Telino</t>
        </is>
      </c>
      <c r="C34" s="6" t="n">
        <v>14</v>
      </c>
      <c r="D34" s="6" t="n">
        <v>4</v>
      </c>
      <c r="E34" s="7" t="inlineStr">
        <is>
          <t>12 - 100 g pkgs</t>
        </is>
      </c>
      <c r="F34" s="8" t="n">
        <v>12.5</v>
      </c>
    </row>
    <row r="35" ht="18" customHeight="1">
      <c r="A35" s="11" t="n">
        <v>32</v>
      </c>
      <c r="B35" s="12" t="inlineStr">
        <is>
          <t>Mascarpone Fabioli</t>
        </is>
      </c>
      <c r="C35" s="11" t="n">
        <v>14</v>
      </c>
      <c r="D35" s="11" t="n">
        <v>4</v>
      </c>
      <c r="E35" s="12" t="inlineStr">
        <is>
          <t>24 - 200 g pkgs.</t>
        </is>
      </c>
      <c r="F35" s="13" t="n">
        <v>32</v>
      </c>
    </row>
    <row r="36" ht="18" customHeight="1">
      <c r="A36" s="6" t="n">
        <v>33</v>
      </c>
      <c r="B36" s="7" t="inlineStr">
        <is>
          <t>Geitost</t>
        </is>
      </c>
      <c r="C36" s="6" t="n">
        <v>15</v>
      </c>
      <c r="D36" s="6" t="n">
        <v>4</v>
      </c>
      <c r="E36" s="7" t="inlineStr">
        <is>
          <t>500 g</t>
        </is>
      </c>
      <c r="F36" s="8" t="n">
        <v>2.5</v>
      </c>
    </row>
    <row r="37" ht="18" customHeight="1">
      <c r="A37" s="11" t="n">
        <v>34</v>
      </c>
      <c r="B37" s="12" t="inlineStr">
        <is>
          <t>Sasquatch Ale</t>
        </is>
      </c>
      <c r="C37" s="11" t="n">
        <v>16</v>
      </c>
      <c r="D37" s="11" t="n">
        <v>1</v>
      </c>
      <c r="E37" s="12" t="inlineStr">
        <is>
          <t>24 - 12 oz bottles</t>
        </is>
      </c>
      <c r="F37" s="13" t="n">
        <v>14</v>
      </c>
    </row>
    <row r="38" ht="18" customHeight="1">
      <c r="A38" s="6" t="n">
        <v>35</v>
      </c>
      <c r="B38" s="7" t="inlineStr">
        <is>
          <t>Steeleye Stout</t>
        </is>
      </c>
      <c r="C38" s="6" t="n">
        <v>16</v>
      </c>
      <c r="D38" s="6" t="n">
        <v>1</v>
      </c>
      <c r="E38" s="7" t="inlineStr">
        <is>
          <t>24 - 12 oz bottles</t>
        </is>
      </c>
      <c r="F38" s="8" t="n">
        <v>18</v>
      </c>
    </row>
    <row r="39" ht="18" customHeight="1">
      <c r="A39" s="11" t="n">
        <v>36</v>
      </c>
      <c r="B39" s="12" t="inlineStr">
        <is>
          <t>Inlagd Sill</t>
        </is>
      </c>
      <c r="C39" s="11" t="n">
        <v>17</v>
      </c>
      <c r="D39" s="11" t="n">
        <v>8</v>
      </c>
      <c r="E39" s="12" t="inlineStr">
        <is>
          <t>24 - 250 g jars</t>
        </is>
      </c>
      <c r="F39" s="13" t="n">
        <v>19</v>
      </c>
    </row>
    <row r="40" ht="18" customHeight="1">
      <c r="A40" s="6" t="n">
        <v>37</v>
      </c>
      <c r="B40" s="7" t="inlineStr">
        <is>
          <t>Gravad lax</t>
        </is>
      </c>
      <c r="C40" s="6" t="n">
        <v>17</v>
      </c>
      <c r="D40" s="6" t="n">
        <v>8</v>
      </c>
      <c r="E40" s="7" t="inlineStr">
        <is>
          <t>12 - 500 g pkgs.</t>
        </is>
      </c>
      <c r="F40" s="8" t="n">
        <v>26</v>
      </c>
    </row>
    <row r="41" ht="18" customHeight="1">
      <c r="A41" s="11" t="n">
        <v>38</v>
      </c>
      <c r="B41" s="12" t="inlineStr">
        <is>
          <t>Côte de Blaye</t>
        </is>
      </c>
      <c r="C41" s="11" t="n">
        <v>18</v>
      </c>
      <c r="D41" s="11" t="n">
        <v>1</v>
      </c>
      <c r="E41" s="12" t="inlineStr">
        <is>
          <t>12 - 75 cl bottles</t>
        </is>
      </c>
      <c r="F41" s="13" t="n">
        <v>263.5</v>
      </c>
    </row>
    <row r="42" ht="18" customHeight="1">
      <c r="A42" s="6" t="n">
        <v>39</v>
      </c>
      <c r="B42" s="7" t="inlineStr">
        <is>
          <t>Chartreuse verte</t>
        </is>
      </c>
      <c r="C42" s="6" t="n">
        <v>18</v>
      </c>
      <c r="D42" s="6" t="n">
        <v>1</v>
      </c>
      <c r="E42" s="7" t="inlineStr">
        <is>
          <t>750 cc per bottle</t>
        </is>
      </c>
      <c r="F42" s="8" t="n">
        <v>18</v>
      </c>
    </row>
    <row r="43" ht="18" customHeight="1">
      <c r="A43" s="11" t="n">
        <v>40</v>
      </c>
      <c r="B43" s="12" t="inlineStr">
        <is>
          <t>Boston Crab Meat</t>
        </is>
      </c>
      <c r="C43" s="11" t="n">
        <v>19</v>
      </c>
      <c r="D43" s="11" t="n">
        <v>8</v>
      </c>
      <c r="E43" s="12" t="inlineStr">
        <is>
          <t>24 - 4 oz tins</t>
        </is>
      </c>
      <c r="F43" s="13" t="n">
        <v>18.4</v>
      </c>
    </row>
    <row r="44" ht="18" customHeight="1">
      <c r="A44" s="6" t="n">
        <v>41</v>
      </c>
      <c r="B44" s="7" t="inlineStr">
        <is>
          <t>Jack's New England Clam Chowder</t>
        </is>
      </c>
      <c r="C44" s="6" t="n">
        <v>19</v>
      </c>
      <c r="D44" s="6" t="n">
        <v>8</v>
      </c>
      <c r="E44" s="7" t="inlineStr">
        <is>
          <t>12 - 12 oz cans</t>
        </is>
      </c>
      <c r="F44" s="8" t="n">
        <v>9.65</v>
      </c>
    </row>
    <row r="45" ht="18" customHeight="1">
      <c r="A45" s="11" t="n">
        <v>42</v>
      </c>
      <c r="B45" s="12" t="inlineStr">
        <is>
          <t>Singaporean Hokkien Fried Mee</t>
        </is>
      </c>
      <c r="C45" s="11" t="n">
        <v>20</v>
      </c>
      <c r="D45" s="11" t="n">
        <v>5</v>
      </c>
      <c r="E45" s="12" t="inlineStr">
        <is>
          <t>32 - 1 kg pkgs.</t>
        </is>
      </c>
      <c r="F45" s="13" t="n">
        <v>14</v>
      </c>
    </row>
    <row r="46" ht="18" customHeight="1">
      <c r="A46" s="6" t="n">
        <v>43</v>
      </c>
      <c r="B46" s="7" t="inlineStr">
        <is>
          <t>Ipoh Coffee</t>
        </is>
      </c>
      <c r="C46" s="6" t="n">
        <v>20</v>
      </c>
      <c r="D46" s="6" t="n">
        <v>1</v>
      </c>
      <c r="E46" s="7" t="inlineStr">
        <is>
          <t>16 - 500 g tins</t>
        </is>
      </c>
      <c r="F46" s="8" t="n">
        <v>46</v>
      </c>
    </row>
    <row r="47" ht="18" customHeight="1">
      <c r="A47" s="11" t="n">
        <v>44</v>
      </c>
      <c r="B47" s="12" t="inlineStr">
        <is>
          <t>Gula Malacca</t>
        </is>
      </c>
      <c r="C47" s="11" t="n">
        <v>20</v>
      </c>
      <c r="D47" s="11" t="n">
        <v>2</v>
      </c>
      <c r="E47" s="12" t="inlineStr">
        <is>
          <t>20 - 2 kg bags</t>
        </is>
      </c>
      <c r="F47" s="13" t="n">
        <v>19.45</v>
      </c>
    </row>
    <row r="48" ht="18" customHeight="1">
      <c r="A48" s="6" t="n">
        <v>45</v>
      </c>
      <c r="B48" s="7" t="inlineStr">
        <is>
          <t>Røgede sild</t>
        </is>
      </c>
      <c r="C48" s="6" t="n">
        <v>21</v>
      </c>
      <c r="D48" s="6" t="n">
        <v>8</v>
      </c>
      <c r="E48" s="7" t="inlineStr">
        <is>
          <t>1k pkg.</t>
        </is>
      </c>
      <c r="F48" s="8" t="n">
        <v>9.5</v>
      </c>
    </row>
    <row r="49" ht="18" customHeight="1">
      <c r="A49" s="11" t="n">
        <v>46</v>
      </c>
      <c r="B49" s="12" t="inlineStr">
        <is>
          <t>Spegesild</t>
        </is>
      </c>
      <c r="C49" s="11" t="n">
        <v>21</v>
      </c>
      <c r="D49" s="11" t="n">
        <v>8</v>
      </c>
      <c r="E49" s="12" t="inlineStr">
        <is>
          <t>4 - 450 g glasses</t>
        </is>
      </c>
      <c r="F49" s="13" t="n">
        <v>12</v>
      </c>
    </row>
    <row r="50" ht="18" customHeight="1">
      <c r="A50" s="6" t="n">
        <v>47</v>
      </c>
      <c r="B50" s="7" t="inlineStr">
        <is>
          <t>Zaanse koeken</t>
        </is>
      </c>
      <c r="C50" s="6" t="n">
        <v>22</v>
      </c>
      <c r="D50" s="6" t="n">
        <v>3</v>
      </c>
      <c r="E50" s="7" t="inlineStr">
        <is>
          <t>10 - 4 oz boxes</t>
        </is>
      </c>
      <c r="F50" s="8" t="n">
        <v>9.5</v>
      </c>
    </row>
    <row r="51" ht="18" customHeight="1">
      <c r="A51" s="11" t="n">
        <v>48</v>
      </c>
      <c r="B51" s="12" t="inlineStr">
        <is>
          <t>Chocolade</t>
        </is>
      </c>
      <c r="C51" s="11" t="n">
        <v>22</v>
      </c>
      <c r="D51" s="11" t="n">
        <v>3</v>
      </c>
      <c r="E51" s="12" t="inlineStr">
        <is>
          <t>10 pkgs.</t>
        </is>
      </c>
      <c r="F51" s="13" t="n">
        <v>12.75</v>
      </c>
    </row>
    <row r="52" ht="18" customHeight="1">
      <c r="A52" s="6" t="n">
        <v>49</v>
      </c>
      <c r="B52" s="7" t="inlineStr">
        <is>
          <t>Maxilaku</t>
        </is>
      </c>
      <c r="C52" s="6" t="n">
        <v>23</v>
      </c>
      <c r="D52" s="6" t="n">
        <v>3</v>
      </c>
      <c r="E52" s="7" t="inlineStr">
        <is>
          <t>24 - 50 g pkgs.</t>
        </is>
      </c>
      <c r="F52" s="8" t="n">
        <v>20</v>
      </c>
    </row>
    <row r="53" ht="18" customHeight="1">
      <c r="A53" s="11" t="n">
        <v>50</v>
      </c>
      <c r="B53" s="12" t="inlineStr">
        <is>
          <t>Valkoinen suklaa</t>
        </is>
      </c>
      <c r="C53" s="11" t="n">
        <v>23</v>
      </c>
      <c r="D53" s="11" t="n">
        <v>3</v>
      </c>
      <c r="E53" s="12" t="inlineStr">
        <is>
          <t>12 - 100 g bars</t>
        </is>
      </c>
      <c r="F53" s="13" t="n">
        <v>16.25</v>
      </c>
    </row>
    <row r="54" ht="18" customHeight="1">
      <c r="A54" s="6" t="n">
        <v>51</v>
      </c>
      <c r="B54" s="7" t="inlineStr">
        <is>
          <t>Manjimup Dried Apples</t>
        </is>
      </c>
      <c r="C54" s="6" t="n">
        <v>24</v>
      </c>
      <c r="D54" s="6" t="n">
        <v>7</v>
      </c>
      <c r="E54" s="7" t="inlineStr">
        <is>
          <t>50 - 300 g pkgs.</t>
        </is>
      </c>
      <c r="F54" s="8" t="n">
        <v>53</v>
      </c>
    </row>
    <row r="55" ht="18" customHeight="1">
      <c r="A55" s="11" t="n">
        <v>52</v>
      </c>
      <c r="B55" s="12" t="inlineStr">
        <is>
          <t>Filo Mix</t>
        </is>
      </c>
      <c r="C55" s="11" t="n">
        <v>24</v>
      </c>
      <c r="D55" s="11" t="n">
        <v>5</v>
      </c>
      <c r="E55" s="12" t="inlineStr">
        <is>
          <t>16 - 2 kg boxes</t>
        </is>
      </c>
      <c r="F55" s="13" t="n">
        <v>7</v>
      </c>
    </row>
    <row r="56" ht="18" customHeight="1">
      <c r="A56" s="6" t="n">
        <v>53</v>
      </c>
      <c r="B56" s="7" t="inlineStr">
        <is>
          <t>Perth Pasties</t>
        </is>
      </c>
      <c r="C56" s="6" t="n">
        <v>24</v>
      </c>
      <c r="D56" s="6" t="n">
        <v>6</v>
      </c>
      <c r="E56" s="7" t="inlineStr">
        <is>
          <t>48 pieces</t>
        </is>
      </c>
      <c r="F56" s="8" t="n">
        <v>32.8</v>
      </c>
    </row>
    <row r="57" ht="18" customHeight="1">
      <c r="A57" s="11" t="n">
        <v>54</v>
      </c>
      <c r="B57" s="12" t="inlineStr">
        <is>
          <t>Tourtière</t>
        </is>
      </c>
      <c r="C57" s="11" t="n">
        <v>25</v>
      </c>
      <c r="D57" s="11" t="n">
        <v>6</v>
      </c>
      <c r="E57" s="12" t="inlineStr">
        <is>
          <t>16 pies</t>
        </is>
      </c>
      <c r="F57" s="13" t="n">
        <v>7.45</v>
      </c>
    </row>
    <row r="58" ht="18" customHeight="1">
      <c r="A58" s="6" t="n">
        <v>55</v>
      </c>
      <c r="B58" s="7" t="inlineStr">
        <is>
          <t>Pâté chinois</t>
        </is>
      </c>
      <c r="C58" s="6" t="n">
        <v>25</v>
      </c>
      <c r="D58" s="6" t="n">
        <v>6</v>
      </c>
      <c r="E58" s="7" t="inlineStr">
        <is>
          <t>24 boxes x 2 pies</t>
        </is>
      </c>
      <c r="F58" s="8" t="n">
        <v>24</v>
      </c>
    </row>
    <row r="59" ht="18" customHeight="1">
      <c r="A59" s="11" t="n">
        <v>56</v>
      </c>
      <c r="B59" s="12" t="inlineStr">
        <is>
          <t>Gnocchi di nonna Alice</t>
        </is>
      </c>
      <c r="C59" s="11" t="n">
        <v>26</v>
      </c>
      <c r="D59" s="11" t="n">
        <v>5</v>
      </c>
      <c r="E59" s="12" t="inlineStr">
        <is>
          <t>24 - 250 g pkgs.</t>
        </is>
      </c>
      <c r="F59" s="13" t="n">
        <v>38</v>
      </c>
    </row>
    <row r="60" ht="18" customHeight="1">
      <c r="A60" s="6" t="n">
        <v>57</v>
      </c>
      <c r="B60" s="7" t="inlineStr">
        <is>
          <t>Ravioli Angelo</t>
        </is>
      </c>
      <c r="C60" s="6" t="n">
        <v>26</v>
      </c>
      <c r="D60" s="6" t="n">
        <v>5</v>
      </c>
      <c r="E60" s="7" t="inlineStr">
        <is>
          <t>24 - 250 g pkgs.</t>
        </is>
      </c>
      <c r="F60" s="8" t="n">
        <v>19.5</v>
      </c>
    </row>
    <row r="61" ht="18" customHeight="1">
      <c r="A61" s="11" t="n">
        <v>58</v>
      </c>
      <c r="B61" s="12" t="inlineStr">
        <is>
          <t>Escargots de Bourgogne</t>
        </is>
      </c>
      <c r="C61" s="11" t="n">
        <v>27</v>
      </c>
      <c r="D61" s="11" t="n">
        <v>8</v>
      </c>
      <c r="E61" s="12" t="inlineStr">
        <is>
          <t>24 pieces</t>
        </is>
      </c>
      <c r="F61" s="13" t="n">
        <v>13.25</v>
      </c>
    </row>
    <row r="62" ht="18" customHeight="1">
      <c r="A62" s="6" t="n">
        <v>59</v>
      </c>
      <c r="B62" s="7" t="inlineStr">
        <is>
          <t>Raclette Courdavault</t>
        </is>
      </c>
      <c r="C62" s="6" t="n">
        <v>28</v>
      </c>
      <c r="D62" s="6" t="n">
        <v>4</v>
      </c>
      <c r="E62" s="7" t="inlineStr">
        <is>
          <t>5 kg pkg.</t>
        </is>
      </c>
      <c r="F62" s="8" t="n">
        <v>55</v>
      </c>
    </row>
    <row r="63" ht="18" customHeight="1">
      <c r="A63" s="11" t="n">
        <v>60</v>
      </c>
      <c r="B63" s="12" t="inlineStr">
        <is>
          <t>Camembert Pierrot</t>
        </is>
      </c>
      <c r="C63" s="11" t="n">
        <v>28</v>
      </c>
      <c r="D63" s="11" t="n">
        <v>4</v>
      </c>
      <c r="E63" s="12" t="inlineStr">
        <is>
          <t>15 - 300 g rounds</t>
        </is>
      </c>
      <c r="F63" s="13" t="n">
        <v>34</v>
      </c>
    </row>
    <row r="64" ht="18" customHeight="1">
      <c r="A64" s="6" t="n">
        <v>61</v>
      </c>
      <c r="B64" s="7" t="inlineStr">
        <is>
          <t>Sirop d'érable</t>
        </is>
      </c>
      <c r="C64" s="6" t="n">
        <v>29</v>
      </c>
      <c r="D64" s="6" t="n">
        <v>2</v>
      </c>
      <c r="E64" s="7" t="inlineStr">
        <is>
          <t>24 - 500 ml bottles</t>
        </is>
      </c>
      <c r="F64" s="8" t="n">
        <v>28.5</v>
      </c>
    </row>
    <row r="65" ht="18" customHeight="1">
      <c r="A65" s="11" t="n">
        <v>62</v>
      </c>
      <c r="B65" s="12" t="inlineStr">
        <is>
          <t>Tarte au sucre</t>
        </is>
      </c>
      <c r="C65" s="11" t="n">
        <v>29</v>
      </c>
      <c r="D65" s="11" t="n">
        <v>3</v>
      </c>
      <c r="E65" s="12" t="inlineStr">
        <is>
          <t>48 pies</t>
        </is>
      </c>
      <c r="F65" s="13" t="n">
        <v>49.3</v>
      </c>
    </row>
    <row r="66" ht="18" customHeight="1">
      <c r="A66" s="6" t="n">
        <v>63</v>
      </c>
      <c r="B66" s="7" t="inlineStr">
        <is>
          <t>Vegie-spread</t>
        </is>
      </c>
      <c r="C66" s="6" t="n">
        <v>7</v>
      </c>
      <c r="D66" s="6" t="n">
        <v>2</v>
      </c>
      <c r="E66" s="7" t="inlineStr">
        <is>
          <t>15 - 625 g jars</t>
        </is>
      </c>
      <c r="F66" s="8" t="n">
        <v>43.9</v>
      </c>
    </row>
    <row r="67" ht="18" customHeight="1">
      <c r="A67" s="11" t="n">
        <v>64</v>
      </c>
      <c r="B67" s="12" t="inlineStr">
        <is>
          <t>Wimmers gute Semmelknödel</t>
        </is>
      </c>
      <c r="C67" s="11" t="n">
        <v>12</v>
      </c>
      <c r="D67" s="11" t="n">
        <v>5</v>
      </c>
      <c r="E67" s="12" t="inlineStr">
        <is>
          <t>20 bags x 4 pieces</t>
        </is>
      </c>
      <c r="F67" s="13" t="n">
        <v>33.25</v>
      </c>
    </row>
    <row r="68" ht="18" customHeight="1">
      <c r="A68" s="6" t="n">
        <v>65</v>
      </c>
      <c r="B68" s="7" t="inlineStr">
        <is>
          <t>Louisiana Fiery Hot Pepper Sauce</t>
        </is>
      </c>
      <c r="C68" s="6" t="n">
        <v>2</v>
      </c>
      <c r="D68" s="6" t="n">
        <v>2</v>
      </c>
      <c r="E68" s="7" t="inlineStr">
        <is>
          <t>32 - 8 oz bottles</t>
        </is>
      </c>
      <c r="F68" s="8" t="n">
        <v>21.05</v>
      </c>
    </row>
    <row r="69" ht="18" customHeight="1">
      <c r="A69" s="11" t="n">
        <v>66</v>
      </c>
      <c r="B69" s="12" t="inlineStr">
        <is>
          <t>Louisiana Hot Spiced Okra</t>
        </is>
      </c>
      <c r="C69" s="11" t="n">
        <v>2</v>
      </c>
      <c r="D69" s="11" t="n">
        <v>2</v>
      </c>
      <c r="E69" s="12" t="inlineStr">
        <is>
          <t>24 - 8 oz jars</t>
        </is>
      </c>
      <c r="F69" s="13" t="n">
        <v>17</v>
      </c>
    </row>
    <row r="70" ht="18" customHeight="1">
      <c r="A70" s="6" t="n">
        <v>67</v>
      </c>
      <c r="B70" s="7" t="inlineStr">
        <is>
          <t>Laughing Lumberjack Lager</t>
        </is>
      </c>
      <c r="C70" s="6" t="n">
        <v>16</v>
      </c>
      <c r="D70" s="6" t="n">
        <v>1</v>
      </c>
      <c r="E70" s="7" t="inlineStr">
        <is>
          <t>24 - 12 oz bottles</t>
        </is>
      </c>
      <c r="F70" s="8" t="n">
        <v>14</v>
      </c>
    </row>
    <row r="71" ht="18" customHeight="1">
      <c r="A71" s="11" t="n">
        <v>68</v>
      </c>
      <c r="B71" s="12" t="inlineStr">
        <is>
          <t>Scottish Longbreads</t>
        </is>
      </c>
      <c r="C71" s="11" t="n">
        <v>8</v>
      </c>
      <c r="D71" s="11" t="n">
        <v>3</v>
      </c>
      <c r="E71" s="12" t="inlineStr">
        <is>
          <t>10 boxes x 8 pieces</t>
        </is>
      </c>
      <c r="F71" s="13" t="n">
        <v>12.5</v>
      </c>
    </row>
    <row r="72" ht="18" customHeight="1">
      <c r="A72" s="6" t="n">
        <v>69</v>
      </c>
      <c r="B72" s="7" t="inlineStr">
        <is>
          <t>Gudbrandsdalsost</t>
        </is>
      </c>
      <c r="C72" s="6" t="n">
        <v>15</v>
      </c>
      <c r="D72" s="6" t="n">
        <v>4</v>
      </c>
      <c r="E72" s="7" t="inlineStr">
        <is>
          <t>10 kg pkg.</t>
        </is>
      </c>
      <c r="F72" s="8" t="n">
        <v>36</v>
      </c>
    </row>
    <row r="73" ht="18" customHeight="1">
      <c r="A73" s="11" t="n">
        <v>70</v>
      </c>
      <c r="B73" s="12" t="inlineStr">
        <is>
          <t>Outback Lager</t>
        </is>
      </c>
      <c r="C73" s="11" t="n">
        <v>7</v>
      </c>
      <c r="D73" s="11" t="n">
        <v>1</v>
      </c>
      <c r="E73" s="12" t="inlineStr">
        <is>
          <t>24 - 355 ml bottles</t>
        </is>
      </c>
      <c r="F73" s="13" t="n">
        <v>15</v>
      </c>
    </row>
    <row r="74" ht="18" customHeight="1">
      <c r="A74" s="6" t="n">
        <v>71</v>
      </c>
      <c r="B74" s="7" t="inlineStr">
        <is>
          <t>Fløtemysost</t>
        </is>
      </c>
      <c r="C74" s="6" t="n">
        <v>15</v>
      </c>
      <c r="D74" s="6" t="n">
        <v>4</v>
      </c>
      <c r="E74" s="7" t="inlineStr">
        <is>
          <t>10 - 500 g pkgs.</t>
        </is>
      </c>
      <c r="F74" s="8" t="n">
        <v>21.5</v>
      </c>
    </row>
    <row r="75" ht="18" customHeight="1">
      <c r="A75" s="11" t="n">
        <v>72</v>
      </c>
      <c r="B75" s="12" t="inlineStr">
        <is>
          <t>Mozzarella di Giovanni</t>
        </is>
      </c>
      <c r="C75" s="11" t="n">
        <v>14</v>
      </c>
      <c r="D75" s="11" t="n">
        <v>4</v>
      </c>
      <c r="E75" s="12" t="inlineStr">
        <is>
          <t>24 - 200 g pkgs.</t>
        </is>
      </c>
      <c r="F75" s="13" t="n">
        <v>34.8</v>
      </c>
    </row>
    <row r="76" ht="18" customHeight="1">
      <c r="A76" s="6" t="n">
        <v>73</v>
      </c>
      <c r="B76" s="7" t="inlineStr">
        <is>
          <t>Röd Kaviar</t>
        </is>
      </c>
      <c r="C76" s="6" t="n">
        <v>17</v>
      </c>
      <c r="D76" s="6" t="n">
        <v>8</v>
      </c>
      <c r="E76" s="7" t="inlineStr">
        <is>
          <t>24 - 150 g jars</t>
        </is>
      </c>
      <c r="F76" s="8" t="n">
        <v>15</v>
      </c>
    </row>
    <row r="77" ht="18" customHeight="1">
      <c r="A77" s="11" t="n">
        <v>74</v>
      </c>
      <c r="B77" s="12" t="inlineStr">
        <is>
          <t>Longlife Tofu</t>
        </is>
      </c>
      <c r="C77" s="11" t="n">
        <v>4</v>
      </c>
      <c r="D77" s="11" t="n">
        <v>7</v>
      </c>
      <c r="E77" s="12" t="inlineStr">
        <is>
          <t>5 kg pkg.</t>
        </is>
      </c>
      <c r="F77" s="13" t="n">
        <v>10</v>
      </c>
    </row>
    <row r="78" ht="18" customHeight="1">
      <c r="A78" s="6" t="n">
        <v>75</v>
      </c>
      <c r="B78" s="7" t="inlineStr">
        <is>
          <t>Rhönbräu Klosterbier</t>
        </is>
      </c>
      <c r="C78" s="6" t="n">
        <v>12</v>
      </c>
      <c r="D78" s="6" t="n">
        <v>1</v>
      </c>
      <c r="E78" s="7" t="inlineStr">
        <is>
          <t>24 - 0.5 l bottles</t>
        </is>
      </c>
      <c r="F78" s="8" t="n">
        <v>7.75</v>
      </c>
    </row>
    <row r="79" ht="18" customHeight="1">
      <c r="A79" s="11" t="n">
        <v>76</v>
      </c>
      <c r="B79" s="12" t="inlineStr">
        <is>
          <t>Lakkalikööri</t>
        </is>
      </c>
      <c r="C79" s="11" t="n">
        <v>23</v>
      </c>
      <c r="D79" s="11" t="n">
        <v>1</v>
      </c>
      <c r="E79" s="12" t="inlineStr">
        <is>
          <t>500 ml</t>
        </is>
      </c>
      <c r="F79" s="13" t="n">
        <v>18</v>
      </c>
    </row>
    <row r="80" ht="18" customHeight="1">
      <c r="A80" s="6" t="n">
        <v>77</v>
      </c>
      <c r="B80" s="7" t="inlineStr">
        <is>
          <t>Original Frankfurter grüne Soße</t>
        </is>
      </c>
      <c r="C80" s="6" t="n">
        <v>12</v>
      </c>
      <c r="D80" s="6" t="n">
        <v>2</v>
      </c>
      <c r="E80" s="7" t="inlineStr">
        <is>
          <t>12 boxes</t>
        </is>
      </c>
      <c r="F80" s="8" t="n">
        <v>13</v>
      </c>
    </row>
  </sheetData>
  <mergeCells count="2">
    <mergeCell ref="A1:F1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2026-05-28T07:23:53Z</dcterms:created>
  <dcterms:modified xmlns:dcterms="http://purl.org/dc/terms/" xmlns:xsi="http://www.w3.org/2001/XMLSchema-instance" xsi:type="dcterms:W3CDTF">2026-05-28T07:23:53Z</dcterms:modified>
</cp:coreProperties>
</file>